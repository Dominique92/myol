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minique\Documents\GitHub\myol\examples\pwa\"/>
    </mc:Choice>
  </mc:AlternateContent>
  <xr:revisionPtr revIDLastSave="0" documentId="8_{9BA80772-B210-4FED-887E-CFC27180858F}" xr6:coauthVersionLast="47" xr6:coauthVersionMax="47" xr10:uidLastSave="{00000000-0000-0000-0000-000000000000}"/>
  <bookViews>
    <workbookView xWindow="5014" yWindow="3360" windowWidth="20075" windowHeight="13689" activeTab="1" xr2:uid="{BE26777F-0E02-4575-AD2B-1115763C8D3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K5" i="2"/>
  <c r="L4" i="2"/>
  <c r="K4" i="2"/>
  <c r="K14" i="2"/>
  <c r="L14" i="2"/>
  <c r="I13" i="2"/>
  <c r="J13" i="2"/>
  <c r="K13" i="2"/>
  <c r="L13" i="2"/>
  <c r="M13" i="2"/>
  <c r="N3" i="2"/>
  <c r="N2" i="2"/>
  <c r="J3" i="2"/>
  <c r="K3" i="2"/>
  <c r="L3" i="2"/>
  <c r="M3" i="2"/>
  <c r="I3" i="2"/>
  <c r="L11" i="1"/>
  <c r="A4" i="2"/>
  <c r="B4" i="2" s="1"/>
  <c r="I22" i="1"/>
  <c r="I23" i="1"/>
  <c r="I24" i="1"/>
  <c r="I25" i="1"/>
  <c r="I21" i="1"/>
  <c r="E28" i="1"/>
  <c r="K26" i="1"/>
  <c r="L26" i="1" s="1"/>
  <c r="M26" i="1" s="1"/>
  <c r="D25" i="1"/>
  <c r="C25" i="1" s="1"/>
  <c r="A4" i="1"/>
  <c r="A5" i="1" s="1"/>
  <c r="A6" i="1" s="1"/>
  <c r="A7" i="1" s="1"/>
  <c r="E3" i="1"/>
  <c r="D4" i="1"/>
  <c r="D5" i="1" s="1"/>
  <c r="C5" i="1" s="1"/>
  <c r="G4" i="2" l="1"/>
  <c r="A5" i="2"/>
  <c r="A6" i="2" s="1"/>
  <c r="G6" i="2" s="1"/>
  <c r="D4" i="2"/>
  <c r="C4" i="2"/>
  <c r="F4" i="2"/>
  <c r="E4" i="2"/>
  <c r="C4" i="1"/>
  <c r="B4" i="1"/>
  <c r="B5" i="1"/>
  <c r="N5" i="1"/>
  <c r="F7" i="1"/>
  <c r="A8" i="1"/>
  <c r="E5" i="1"/>
  <c r="D6" i="1"/>
  <c r="E4" i="1"/>
  <c r="F5" i="2" l="1"/>
  <c r="E5" i="2"/>
  <c r="B5" i="2"/>
  <c r="D5" i="2"/>
  <c r="G5" i="2"/>
  <c r="C5" i="2"/>
  <c r="A7" i="2"/>
  <c r="G7" i="2" s="1"/>
  <c r="B6" i="2"/>
  <c r="C6" i="2"/>
  <c r="D6" i="2"/>
  <c r="E6" i="2"/>
  <c r="F6" i="2"/>
  <c r="B6" i="1"/>
  <c r="C6" i="1"/>
  <c r="N6" i="1"/>
  <c r="F8" i="1"/>
  <c r="A9" i="1"/>
  <c r="E6" i="1"/>
  <c r="D7" i="1"/>
  <c r="B7" i="2" l="1"/>
  <c r="C7" i="2"/>
  <c r="D7" i="2"/>
  <c r="E7" i="2"/>
  <c r="F7" i="2"/>
  <c r="A8" i="2"/>
  <c r="G8" i="2" s="1"/>
  <c r="B7" i="1"/>
  <c r="C7" i="1"/>
  <c r="N7" i="1" s="1"/>
  <c r="F9" i="1"/>
  <c r="A10" i="1"/>
  <c r="E7" i="1"/>
  <c r="G7" i="1" s="1"/>
  <c r="D8" i="1"/>
  <c r="A9" i="2" l="1"/>
  <c r="G9" i="2" s="1"/>
  <c r="B8" i="2"/>
  <c r="C8" i="2"/>
  <c r="D8" i="2"/>
  <c r="E8" i="2"/>
  <c r="F8" i="2"/>
  <c r="B8" i="1"/>
  <c r="C8" i="1"/>
  <c r="N8" i="1"/>
  <c r="F10" i="1"/>
  <c r="A11" i="1"/>
  <c r="D9" i="1"/>
  <c r="E8" i="1"/>
  <c r="G8" i="1" s="1"/>
  <c r="B9" i="2" l="1"/>
  <c r="C9" i="2"/>
  <c r="D9" i="2"/>
  <c r="E9" i="2"/>
  <c r="F9" i="2"/>
  <c r="A10" i="2"/>
  <c r="G10" i="2" s="1"/>
  <c r="B9" i="1"/>
  <c r="K9" i="1" s="1"/>
  <c r="C9" i="1"/>
  <c r="N9" i="1" s="1"/>
  <c r="F11" i="1"/>
  <c r="A12" i="1"/>
  <c r="E9" i="1"/>
  <c r="G9" i="1" s="1"/>
  <c r="D10" i="1"/>
  <c r="A11" i="2" l="1"/>
  <c r="G11" i="2" s="1"/>
  <c r="B10" i="2"/>
  <c r="C10" i="2"/>
  <c r="D10" i="2"/>
  <c r="E10" i="2"/>
  <c r="F10" i="2"/>
  <c r="L9" i="1"/>
  <c r="C10" i="1"/>
  <c r="B10" i="1"/>
  <c r="K10" i="1" s="1"/>
  <c r="N10" i="1"/>
  <c r="L10" i="1"/>
  <c r="F12" i="1"/>
  <c r="A13" i="1"/>
  <c r="D11" i="1"/>
  <c r="E10" i="1"/>
  <c r="G10" i="1" s="1"/>
  <c r="B11" i="2" l="1"/>
  <c r="C11" i="2"/>
  <c r="D11" i="2"/>
  <c r="E11" i="2"/>
  <c r="F11" i="2"/>
  <c r="A13" i="2"/>
  <c r="G13" i="2" s="1"/>
  <c r="K11" i="1"/>
  <c r="C11" i="1"/>
  <c r="J22" i="1" s="1"/>
  <c r="B11" i="1"/>
  <c r="O11" i="1" s="1"/>
  <c r="B28" i="1"/>
  <c r="G24" i="1"/>
  <c r="K24" i="1"/>
  <c r="N11" i="1"/>
  <c r="C24" i="1"/>
  <c r="D24" i="1" s="1"/>
  <c r="F13" i="1"/>
  <c r="A14" i="1"/>
  <c r="D12" i="1"/>
  <c r="E11" i="1"/>
  <c r="G11" i="1" s="1"/>
  <c r="A14" i="2" l="1"/>
  <c r="G14" i="2" s="1"/>
  <c r="B13" i="2"/>
  <c r="C13" i="2"/>
  <c r="D13" i="2"/>
  <c r="E13" i="2"/>
  <c r="F13" i="2"/>
  <c r="J23" i="1"/>
  <c r="G28" i="1"/>
  <c r="J21" i="1"/>
  <c r="J25" i="1"/>
  <c r="J24" i="1"/>
  <c r="B12" i="1"/>
  <c r="K12" i="1" s="1"/>
  <c r="C12" i="1"/>
  <c r="N12" i="1"/>
  <c r="L12" i="1"/>
  <c r="F14" i="1"/>
  <c r="A15" i="1"/>
  <c r="D13" i="1"/>
  <c r="E12" i="1"/>
  <c r="G12" i="1" s="1"/>
  <c r="C14" i="2" l="1"/>
  <c r="D14" i="2"/>
  <c r="E14" i="2"/>
  <c r="F14" i="2"/>
  <c r="A15" i="2"/>
  <c r="G15" i="2" s="1"/>
  <c r="B14" i="2"/>
  <c r="C13" i="1"/>
  <c r="B13" i="1"/>
  <c r="K13" i="1" s="1"/>
  <c r="N13" i="1"/>
  <c r="L13" i="1"/>
  <c r="A16" i="1"/>
  <c r="F15" i="1"/>
  <c r="D14" i="1"/>
  <c r="E13" i="1"/>
  <c r="G13" i="1" s="1"/>
  <c r="A16" i="2" l="1"/>
  <c r="G16" i="2" s="1"/>
  <c r="B15" i="2"/>
  <c r="C15" i="2"/>
  <c r="D15" i="2"/>
  <c r="E15" i="2"/>
  <c r="F15" i="2"/>
  <c r="B14" i="1"/>
  <c r="C14" i="1"/>
  <c r="N14" i="1"/>
  <c r="A17" i="1"/>
  <c r="F16" i="1"/>
  <c r="D15" i="1"/>
  <c r="E14" i="1"/>
  <c r="G14" i="1" s="1"/>
  <c r="B16" i="2" l="1"/>
  <c r="C16" i="2"/>
  <c r="D16" i="2"/>
  <c r="E16" i="2"/>
  <c r="F16" i="2"/>
  <c r="A17" i="2"/>
  <c r="G17" i="2" s="1"/>
  <c r="B15" i="1"/>
  <c r="C15" i="1"/>
  <c r="F17" i="1"/>
  <c r="A18" i="1"/>
  <c r="E15" i="1"/>
  <c r="G15" i="1" s="1"/>
  <c r="D16" i="1"/>
  <c r="A18" i="2" l="1"/>
  <c r="G18" i="2" s="1"/>
  <c r="B17" i="2"/>
  <c r="C17" i="2"/>
  <c r="D17" i="2"/>
  <c r="E17" i="2"/>
  <c r="F17" i="2"/>
  <c r="C16" i="1"/>
  <c r="B16" i="1"/>
  <c r="F18" i="1"/>
  <c r="A19" i="1"/>
  <c r="F19" i="1" s="1"/>
  <c r="D17" i="1"/>
  <c r="E16" i="1"/>
  <c r="G16" i="1" s="1"/>
  <c r="C18" i="2" l="1"/>
  <c r="D18" i="2"/>
  <c r="E18" i="2"/>
  <c r="F18" i="2"/>
  <c r="A19" i="2"/>
  <c r="G19" i="2" s="1"/>
  <c r="B18" i="2"/>
  <c r="C17" i="1"/>
  <c r="B17" i="1"/>
  <c r="D18" i="1"/>
  <c r="E17" i="1"/>
  <c r="G17" i="1" s="1"/>
  <c r="A20" i="2" l="1"/>
  <c r="G20" i="2" s="1"/>
  <c r="B19" i="2"/>
  <c r="C19" i="2"/>
  <c r="D19" i="2"/>
  <c r="E19" i="2"/>
  <c r="F19" i="2"/>
  <c r="B18" i="1"/>
  <c r="C18" i="1"/>
  <c r="D19" i="1"/>
  <c r="E18" i="1"/>
  <c r="G18" i="1" s="1"/>
  <c r="B20" i="2" l="1"/>
  <c r="C20" i="2"/>
  <c r="D20" i="2"/>
  <c r="E20" i="2"/>
  <c r="F20" i="2"/>
  <c r="A21" i="2"/>
  <c r="G21" i="2" s="1"/>
  <c r="E19" i="1"/>
  <c r="G19" i="1" s="1"/>
  <c r="C19" i="1"/>
  <c r="B19" i="1"/>
  <c r="B21" i="2" l="1"/>
  <c r="C21" i="2"/>
  <c r="D21" i="2"/>
  <c r="E21" i="2"/>
  <c r="F21" i="2"/>
</calcChain>
</file>

<file path=xl/sharedStrings.xml><?xml version="1.0" encoding="utf-8"?>
<sst xmlns="http://schemas.openxmlformats.org/spreadsheetml/2006/main" count="31" uniqueCount="26">
  <si>
    <t>0/0/0</t>
  </si>
  <si>
    <t>1/0/0</t>
  </si>
  <si>
    <t>2/0/0</t>
  </si>
  <si>
    <t>3/0/0</t>
  </si>
  <si>
    <t>1/1/1</t>
  </si>
  <si>
    <t>2/3/3</t>
  </si>
  <si>
    <t>3/7/7</t>
  </si>
  <si>
    <t>delta lon °</t>
  </si>
  <si>
    <t>delta lat °</t>
  </si>
  <si>
    <t>zoom</t>
  </si>
  <si>
    <t>lon Grenoble</t>
  </si>
  <si>
    <t>lat Grenoble</t>
  </si>
  <si>
    <t>6/33/16</t>
  </si>
  <si>
    <t>6/33/17</t>
  </si>
  <si>
    <t>6/33/18</t>
  </si>
  <si>
    <t>6/33/19</t>
  </si>
  <si>
    <t>6/33/20</t>
  </si>
  <si>
    <t>8/132/91</t>
  </si>
  <si>
    <t>2**zoom</t>
  </si>
  <si>
    <t>lat equ.</t>
  </si>
  <si>
    <t>lat pôle</t>
  </si>
  <si>
    <t>lat nord</t>
  </si>
  <si>
    <t>lat sud</t>
  </si>
  <si>
    <t>tuile</t>
  </si>
  <si>
    <t>delta lat</t>
  </si>
  <si>
    <t>ln[tan(φ/2 + π/4)]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</si>
</sst>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quotePrefix="1" applyNumberFormat="1"/>
    <xf numFmtId="0" fontId="0" fillId="0" borderId="0" xfId="0" quotePrefix="1"/>
    <xf numFmtId="0" fontId="0" fillId="0" borderId="0" xfId="0" applyAlignment="1">
      <alignment horizontal="right"/>
    </xf>
    <xf numFmtId="0" fontId="0" fillId="2" borderId="0" xfId="0" applyFill="1"/>
    <xf numFmtId="0" fontId="0" fillId="2" borderId="0" xfId="0" quotePrefix="1" applyFill="1"/>
    <xf numFmtId="0" fontId="1" fillId="2" borderId="1" xfId="0" applyFont="1" applyFill="1" applyBorder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DDFAD-1915-4DC2-8886-56EC99624901}">
  <dimension ref="A1:P28"/>
  <sheetViews>
    <sheetView workbookViewId="0">
      <selection activeCell="K1" sqref="K1:L2"/>
    </sheetView>
  </sheetViews>
  <sheetFormatPr baseColWidth="10" defaultColWidth="11.4609375" defaultRowHeight="14.6" x14ac:dyDescent="0.4"/>
  <cols>
    <col min="1" max="1" width="6.23046875" customWidth="1"/>
    <col min="2" max="2" width="13.3046875" customWidth="1"/>
    <col min="3" max="3" width="12.765625" customWidth="1"/>
    <col min="4" max="4" width="7.15234375" customWidth="1"/>
    <col min="5" max="5" width="6.765625" customWidth="1"/>
    <col min="6" max="6" width="7.3828125" customWidth="1"/>
    <col min="7" max="10" width="15.69140625" customWidth="1"/>
  </cols>
  <sheetData>
    <row r="1" spans="1:16" s="3" customFormat="1" x14ac:dyDescent="0.4">
      <c r="K1" s="3" t="s">
        <v>10</v>
      </c>
      <c r="L1" s="3" t="s">
        <v>11</v>
      </c>
    </row>
    <row r="2" spans="1:16" s="3" customFormat="1" x14ac:dyDescent="0.4">
      <c r="A2" s="3" t="s">
        <v>9</v>
      </c>
      <c r="B2" s="3" t="s">
        <v>7</v>
      </c>
      <c r="C2" s="3" t="s">
        <v>8</v>
      </c>
      <c r="K2" s="3">
        <v>5.7</v>
      </c>
      <c r="L2" s="3">
        <v>45.2</v>
      </c>
    </row>
    <row r="3" spans="1:16" x14ac:dyDescent="0.4">
      <c r="A3">
        <v>0</v>
      </c>
      <c r="B3">
        <v>360</v>
      </c>
      <c r="C3">
        <v>165</v>
      </c>
      <c r="D3">
        <v>1</v>
      </c>
      <c r="E3">
        <f t="shared" ref="E3:E19" si="0">D3-1</f>
        <v>0</v>
      </c>
      <c r="F3" t="s">
        <v>0</v>
      </c>
      <c r="G3" t="s">
        <v>0</v>
      </c>
    </row>
    <row r="4" spans="1:16" x14ac:dyDescent="0.4">
      <c r="A4">
        <f>A3+1</f>
        <v>1</v>
      </c>
      <c r="B4">
        <f>B$3/$D4</f>
        <v>180</v>
      </c>
      <c r="C4">
        <f>C$3/$D4</f>
        <v>82.5</v>
      </c>
      <c r="D4">
        <f>D3*2</f>
        <v>2</v>
      </c>
      <c r="E4">
        <f t="shared" si="0"/>
        <v>1</v>
      </c>
      <c r="F4" t="s">
        <v>1</v>
      </c>
      <c r="G4" s="1" t="s">
        <v>4</v>
      </c>
      <c r="H4" s="1"/>
      <c r="I4" s="1"/>
      <c r="J4" s="1"/>
    </row>
    <row r="5" spans="1:16" x14ac:dyDescent="0.4">
      <c r="A5">
        <f t="shared" ref="A5:A19" si="1">A4+1</f>
        <v>2</v>
      </c>
      <c r="B5">
        <f t="shared" ref="B5:C19" si="2">B$3/$D5</f>
        <v>90</v>
      </c>
      <c r="C5">
        <f t="shared" si="2"/>
        <v>41.25</v>
      </c>
      <c r="D5">
        <f t="shared" ref="D5:D19" si="3">D4*2</f>
        <v>4</v>
      </c>
      <c r="E5">
        <f t="shared" si="0"/>
        <v>3</v>
      </c>
      <c r="F5" t="s">
        <v>2</v>
      </c>
      <c r="G5" s="1" t="s">
        <v>5</v>
      </c>
      <c r="H5" s="1"/>
      <c r="I5" s="1"/>
      <c r="J5" s="1"/>
      <c r="N5">
        <f t="shared" ref="N5:N10" si="4">84.5-D5*C5</f>
        <v>-80.5</v>
      </c>
    </row>
    <row r="6" spans="1:16" x14ac:dyDescent="0.4">
      <c r="A6">
        <f t="shared" si="1"/>
        <v>3</v>
      </c>
      <c r="B6">
        <f t="shared" si="2"/>
        <v>45</v>
      </c>
      <c r="C6">
        <f t="shared" si="2"/>
        <v>20.625</v>
      </c>
      <c r="D6">
        <f t="shared" si="3"/>
        <v>8</v>
      </c>
      <c r="E6">
        <f t="shared" si="0"/>
        <v>7</v>
      </c>
      <c r="F6" t="s">
        <v>3</v>
      </c>
      <c r="G6" s="2" t="s">
        <v>6</v>
      </c>
      <c r="H6" s="2"/>
      <c r="I6" s="2"/>
      <c r="J6" s="2"/>
      <c r="N6">
        <f t="shared" si="4"/>
        <v>-80.5</v>
      </c>
    </row>
    <row r="7" spans="1:16" x14ac:dyDescent="0.4">
      <c r="A7">
        <f t="shared" si="1"/>
        <v>4</v>
      </c>
      <c r="B7">
        <f t="shared" si="2"/>
        <v>22.5</v>
      </c>
      <c r="C7">
        <f t="shared" si="2"/>
        <v>10.3125</v>
      </c>
      <c r="D7">
        <f t="shared" si="3"/>
        <v>16</v>
      </c>
      <c r="E7">
        <f t="shared" si="0"/>
        <v>15</v>
      </c>
      <c r="F7" t="str">
        <f t="shared" ref="F7:F19" si="5">CONCATENATE(A7,"/0/0")</f>
        <v>4/0/0</v>
      </c>
      <c r="G7" t="str">
        <f t="shared" ref="G7:G19" si="6">CONCATENATE(A7,"/",E7,"/",E7)</f>
        <v>4/15/15</v>
      </c>
      <c r="N7">
        <f t="shared" si="4"/>
        <v>-80.5</v>
      </c>
    </row>
    <row r="8" spans="1:16" x14ac:dyDescent="0.4">
      <c r="A8">
        <f t="shared" si="1"/>
        <v>5</v>
      </c>
      <c r="B8">
        <f t="shared" si="2"/>
        <v>11.25</v>
      </c>
      <c r="C8">
        <f t="shared" si="2"/>
        <v>5.15625</v>
      </c>
      <c r="D8">
        <f t="shared" si="3"/>
        <v>32</v>
      </c>
      <c r="E8">
        <f t="shared" si="0"/>
        <v>31</v>
      </c>
      <c r="F8" t="str">
        <f t="shared" si="5"/>
        <v>5/0/0</v>
      </c>
      <c r="G8" t="str">
        <f t="shared" si="6"/>
        <v>5/31/31</v>
      </c>
      <c r="N8">
        <f t="shared" si="4"/>
        <v>-80.5</v>
      </c>
    </row>
    <row r="9" spans="1:16" x14ac:dyDescent="0.4">
      <c r="A9">
        <f t="shared" si="1"/>
        <v>6</v>
      </c>
      <c r="B9">
        <f t="shared" si="2"/>
        <v>5.625</v>
      </c>
      <c r="C9">
        <f t="shared" si="2"/>
        <v>2.578125</v>
      </c>
      <c r="D9">
        <f t="shared" si="3"/>
        <v>64</v>
      </c>
      <c r="E9">
        <f t="shared" si="0"/>
        <v>63</v>
      </c>
      <c r="F9" t="str">
        <f t="shared" si="5"/>
        <v>6/0/0</v>
      </c>
      <c r="G9" t="str">
        <f t="shared" si="6"/>
        <v>6/63/63</v>
      </c>
      <c r="K9">
        <f>(180+K$2)/B9</f>
        <v>33.013333333333328</v>
      </c>
      <c r="L9">
        <f>(84.5-L$2)/C9</f>
        <v>15.243636363636362</v>
      </c>
      <c r="M9" s="2" t="s">
        <v>12</v>
      </c>
      <c r="N9">
        <f t="shared" si="4"/>
        <v>-80.5</v>
      </c>
    </row>
    <row r="10" spans="1:16" ht="15" thickBot="1" x14ac:dyDescent="0.45">
      <c r="A10">
        <f t="shared" si="1"/>
        <v>7</v>
      </c>
      <c r="B10">
        <f t="shared" si="2"/>
        <v>2.8125</v>
      </c>
      <c r="C10">
        <f t="shared" si="2"/>
        <v>1.2890625</v>
      </c>
      <c r="D10">
        <f t="shared" si="3"/>
        <v>128</v>
      </c>
      <c r="E10">
        <f t="shared" si="0"/>
        <v>127</v>
      </c>
      <c r="F10" t="str">
        <f t="shared" si="5"/>
        <v>7/0/0</v>
      </c>
      <c r="G10" t="str">
        <f t="shared" si="6"/>
        <v>7/127/127</v>
      </c>
      <c r="K10">
        <f>(180+K$2)/B10</f>
        <v>66.026666666666657</v>
      </c>
      <c r="L10">
        <f>(84.5-L$2)/C10</f>
        <v>30.487272727272725</v>
      </c>
      <c r="M10" s="2" t="s">
        <v>13</v>
      </c>
      <c r="N10">
        <f t="shared" si="4"/>
        <v>-80.5</v>
      </c>
    </row>
    <row r="11" spans="1:16" s="4" customFormat="1" ht="15.45" thickTop="1" thickBot="1" x14ac:dyDescent="0.45">
      <c r="A11" s="4">
        <f t="shared" si="1"/>
        <v>8</v>
      </c>
      <c r="B11">
        <f t="shared" si="2"/>
        <v>1.40625</v>
      </c>
      <c r="C11">
        <f t="shared" si="2"/>
        <v>0.64453125</v>
      </c>
      <c r="D11" s="4">
        <f t="shared" si="3"/>
        <v>256</v>
      </c>
      <c r="E11" s="4">
        <f t="shared" si="0"/>
        <v>255</v>
      </c>
      <c r="F11" s="4" t="str">
        <f t="shared" si="5"/>
        <v>8/0/0</v>
      </c>
      <c r="G11" s="4" t="str">
        <f t="shared" si="6"/>
        <v>8/255/255</v>
      </c>
      <c r="K11" s="4">
        <f>(180+K$2)/B$3*$D11</f>
        <v>132.05333333333331</v>
      </c>
      <c r="L11" s="6">
        <f>(84.5-L$2)/C11</f>
        <v>60.974545454545449</v>
      </c>
      <c r="M11" s="5" t="s">
        <v>14</v>
      </c>
      <c r="N11">
        <f>84.5-91*C11</f>
        <v>25.84765625</v>
      </c>
      <c r="O11" s="4">
        <f>B11*91-180</f>
        <v>-52.03125</v>
      </c>
      <c r="P11" s="6" t="s">
        <v>17</v>
      </c>
    </row>
    <row r="12" spans="1:16" ht="15" thickTop="1" x14ac:dyDescent="0.4">
      <c r="A12">
        <f t="shared" si="1"/>
        <v>9</v>
      </c>
      <c r="B12">
        <f t="shared" si="2"/>
        <v>0.703125</v>
      </c>
      <c r="C12">
        <f t="shared" si="2"/>
        <v>0.322265625</v>
      </c>
      <c r="D12">
        <f t="shared" si="3"/>
        <v>512</v>
      </c>
      <c r="E12">
        <f t="shared" si="0"/>
        <v>511</v>
      </c>
      <c r="F12" t="str">
        <f t="shared" si="5"/>
        <v>9/0/0</v>
      </c>
      <c r="G12" t="str">
        <f t="shared" si="6"/>
        <v>9/511/511</v>
      </c>
      <c r="K12">
        <f>(180+K$2)/B12</f>
        <v>264.10666666666663</v>
      </c>
      <c r="L12">
        <f>(84.5-L$2)/C12</f>
        <v>121.9490909090909</v>
      </c>
      <c r="M12" s="2" t="s">
        <v>15</v>
      </c>
      <c r="N12">
        <f>84.5-D12*C12</f>
        <v>-80.5</v>
      </c>
    </row>
    <row r="13" spans="1:16" x14ac:dyDescent="0.4">
      <c r="A13">
        <f t="shared" si="1"/>
        <v>10</v>
      </c>
      <c r="B13">
        <f t="shared" si="2"/>
        <v>0.3515625</v>
      </c>
      <c r="C13">
        <f t="shared" si="2"/>
        <v>0.1611328125</v>
      </c>
      <c r="D13">
        <f t="shared" si="3"/>
        <v>1024</v>
      </c>
      <c r="E13">
        <f t="shared" si="0"/>
        <v>1023</v>
      </c>
      <c r="F13" t="str">
        <f t="shared" si="5"/>
        <v>10/0/0</v>
      </c>
      <c r="G13" t="str">
        <f t="shared" si="6"/>
        <v>10/1023/1023</v>
      </c>
      <c r="K13">
        <f>(180+K$2)/B13</f>
        <v>528.21333333333325</v>
      </c>
      <c r="L13">
        <f>(84.5-L$2)/C13</f>
        <v>243.8981818181818</v>
      </c>
      <c r="M13" s="2" t="s">
        <v>16</v>
      </c>
      <c r="N13">
        <f>84.5-D13*C13</f>
        <v>-80.5</v>
      </c>
    </row>
    <row r="14" spans="1:16" x14ac:dyDescent="0.4">
      <c r="A14">
        <f t="shared" si="1"/>
        <v>11</v>
      </c>
      <c r="B14">
        <f t="shared" si="2"/>
        <v>0.17578125</v>
      </c>
      <c r="C14">
        <f t="shared" si="2"/>
        <v>8.056640625E-2</v>
      </c>
      <c r="D14">
        <f t="shared" si="3"/>
        <v>2048</v>
      </c>
      <c r="E14">
        <f t="shared" si="0"/>
        <v>2047</v>
      </c>
      <c r="F14" t="str">
        <f t="shared" si="5"/>
        <v>11/0/0</v>
      </c>
      <c r="G14" t="str">
        <f t="shared" si="6"/>
        <v>11/2047/2047</v>
      </c>
      <c r="N14">
        <f>84.5-D14*C14</f>
        <v>-80.5</v>
      </c>
    </row>
    <row r="15" spans="1:16" x14ac:dyDescent="0.4">
      <c r="A15">
        <f t="shared" si="1"/>
        <v>12</v>
      </c>
      <c r="B15">
        <f t="shared" si="2"/>
        <v>8.7890625E-2</v>
      </c>
      <c r="C15">
        <f t="shared" si="2"/>
        <v>4.0283203125E-2</v>
      </c>
      <c r="D15">
        <f t="shared" si="3"/>
        <v>4096</v>
      </c>
      <c r="E15">
        <f t="shared" si="0"/>
        <v>4095</v>
      </c>
      <c r="F15" t="str">
        <f t="shared" si="5"/>
        <v>12/0/0</v>
      </c>
      <c r="G15" t="str">
        <f t="shared" si="6"/>
        <v>12/4095/4095</v>
      </c>
    </row>
    <row r="16" spans="1:16" x14ac:dyDescent="0.4">
      <c r="A16">
        <f t="shared" si="1"/>
        <v>13</v>
      </c>
      <c r="B16">
        <f t="shared" si="2"/>
        <v>4.39453125E-2</v>
      </c>
      <c r="C16">
        <f t="shared" si="2"/>
        <v>2.01416015625E-2</v>
      </c>
      <c r="D16">
        <f t="shared" si="3"/>
        <v>8192</v>
      </c>
      <c r="E16">
        <f t="shared" si="0"/>
        <v>8191</v>
      </c>
      <c r="F16" t="str">
        <f t="shared" si="5"/>
        <v>13/0/0</v>
      </c>
      <c r="G16" t="str">
        <f t="shared" si="6"/>
        <v>13/8191/8191</v>
      </c>
    </row>
    <row r="17" spans="1:13" x14ac:dyDescent="0.4">
      <c r="A17">
        <f t="shared" si="1"/>
        <v>14</v>
      </c>
      <c r="B17">
        <f t="shared" si="2"/>
        <v>2.197265625E-2</v>
      </c>
      <c r="C17">
        <f t="shared" si="2"/>
        <v>1.007080078125E-2</v>
      </c>
      <c r="D17">
        <f t="shared" si="3"/>
        <v>16384</v>
      </c>
      <c r="E17">
        <f t="shared" si="0"/>
        <v>16383</v>
      </c>
      <c r="F17" t="str">
        <f t="shared" si="5"/>
        <v>14/0/0</v>
      </c>
      <c r="G17" t="str">
        <f t="shared" si="6"/>
        <v>14/16383/16383</v>
      </c>
    </row>
    <row r="18" spans="1:13" x14ac:dyDescent="0.4">
      <c r="A18">
        <f t="shared" si="1"/>
        <v>15</v>
      </c>
      <c r="B18">
        <f t="shared" si="2"/>
        <v>1.0986328125E-2</v>
      </c>
      <c r="C18">
        <f t="shared" si="2"/>
        <v>5.035400390625E-3</v>
      </c>
      <c r="D18">
        <f t="shared" si="3"/>
        <v>32768</v>
      </c>
      <c r="E18">
        <f t="shared" si="0"/>
        <v>32767</v>
      </c>
      <c r="F18" t="str">
        <f t="shared" si="5"/>
        <v>15/0/0</v>
      </c>
      <c r="G18" t="str">
        <f t="shared" si="6"/>
        <v>15/32767/32767</v>
      </c>
    </row>
    <row r="19" spans="1:13" x14ac:dyDescent="0.4">
      <c r="A19">
        <f t="shared" si="1"/>
        <v>16</v>
      </c>
      <c r="B19">
        <f t="shared" si="2"/>
        <v>5.4931640625E-3</v>
      </c>
      <c r="C19">
        <f t="shared" si="2"/>
        <v>2.5177001953125E-3</v>
      </c>
      <c r="D19">
        <f t="shared" si="3"/>
        <v>65536</v>
      </c>
      <c r="E19">
        <f t="shared" si="0"/>
        <v>65535</v>
      </c>
      <c r="F19" t="str">
        <f t="shared" si="5"/>
        <v>16/0/0</v>
      </c>
      <c r="G19" t="str">
        <f t="shared" si="6"/>
        <v>16/65535/65535</v>
      </c>
    </row>
    <row r="21" spans="1:13" x14ac:dyDescent="0.4">
      <c r="H21">
        <v>84.5</v>
      </c>
      <c r="I21">
        <f>H$21-H21</f>
        <v>0</v>
      </c>
      <c r="J21">
        <f>I21/$C$11</f>
        <v>0</v>
      </c>
    </row>
    <row r="22" spans="1:13" x14ac:dyDescent="0.4">
      <c r="H22">
        <v>45.2</v>
      </c>
      <c r="I22">
        <f t="shared" ref="I22:I25" si="7">H$21-H22</f>
        <v>39.299999999999997</v>
      </c>
      <c r="J22">
        <f t="shared" ref="J22:J25" si="8">I22/$C$11</f>
        <v>60.974545454545449</v>
      </c>
    </row>
    <row r="23" spans="1:13" x14ac:dyDescent="0.4">
      <c r="H23">
        <v>25.5</v>
      </c>
      <c r="I23">
        <f t="shared" si="7"/>
        <v>59</v>
      </c>
      <c r="J23">
        <f t="shared" si="8"/>
        <v>91.539393939393946</v>
      </c>
    </row>
    <row r="24" spans="1:13" x14ac:dyDescent="0.4">
      <c r="C24">
        <f>91*C11</f>
        <v>58.65234375</v>
      </c>
      <c r="D24">
        <f>84.5-C24</f>
        <v>25.84765625</v>
      </c>
      <c r="G24">
        <f>84.5-D11*C11</f>
        <v>-80.5</v>
      </c>
      <c r="H24">
        <v>0</v>
      </c>
      <c r="I24">
        <f t="shared" si="7"/>
        <v>84.5</v>
      </c>
      <c r="J24">
        <f t="shared" si="8"/>
        <v>131.10303030303029</v>
      </c>
      <c r="K24">
        <f>D11*C11</f>
        <v>165</v>
      </c>
    </row>
    <row r="25" spans="1:13" x14ac:dyDescent="0.4">
      <c r="C25">
        <f>91/D25</f>
        <v>2.3155216284987281</v>
      </c>
      <c r="D25">
        <f>84.5-45.2</f>
        <v>39.299999999999997</v>
      </c>
      <c r="H25">
        <v>-80.5</v>
      </c>
      <c r="I25">
        <f t="shared" si="7"/>
        <v>165</v>
      </c>
      <c r="J25">
        <f t="shared" si="8"/>
        <v>256</v>
      </c>
    </row>
    <row r="26" spans="1:13" x14ac:dyDescent="0.4">
      <c r="K26">
        <f>84.5-45.2</f>
        <v>39.299999999999997</v>
      </c>
      <c r="L26">
        <f>K26/91</f>
        <v>0.43186813186813183</v>
      </c>
      <c r="M26">
        <f>L26*256</f>
        <v>110.55824175824175</v>
      </c>
    </row>
    <row r="28" spans="1:13" x14ac:dyDescent="0.4">
      <c r="B28">
        <f>C11*D11</f>
        <v>165</v>
      </c>
      <c r="E28">
        <f>(84.5-45.2)*256/165*2</f>
        <v>121.9490909090909</v>
      </c>
      <c r="G28">
        <f>43.2/C11-165/2</f>
        <v>-15.474545454545449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1CB8D-EB4F-4FAB-BA0C-36D0211B94DC}">
  <dimension ref="A1:N21"/>
  <sheetViews>
    <sheetView tabSelected="1" workbookViewId="0">
      <selection activeCell="I3" sqref="I3"/>
    </sheetView>
  </sheetViews>
  <sheetFormatPr baseColWidth="10" defaultRowHeight="14.6" x14ac:dyDescent="0.4"/>
  <cols>
    <col min="1" max="1" width="4.07421875" customWidth="1"/>
    <col min="2" max="2" width="8.23046875" customWidth="1"/>
    <col min="3" max="4" width="11.84375" bestFit="1" customWidth="1"/>
    <col min="5" max="5" width="6.07421875" bestFit="1" customWidth="1"/>
    <col min="6" max="6" width="15.61328125" customWidth="1"/>
    <col min="8" max="8" width="2.84375" bestFit="1" customWidth="1"/>
  </cols>
  <sheetData>
    <row r="1" spans="1:14" x14ac:dyDescent="0.4">
      <c r="A1" s="3">
        <v>-1</v>
      </c>
      <c r="B1" s="3" t="s">
        <v>18</v>
      </c>
      <c r="C1" s="3" t="s">
        <v>7</v>
      </c>
      <c r="D1" s="3" t="s">
        <v>8</v>
      </c>
      <c r="E1" s="3"/>
      <c r="F1" s="3"/>
      <c r="G1" s="3" t="s">
        <v>10</v>
      </c>
      <c r="H1" s="3"/>
      <c r="I1" s="3" t="s">
        <v>11</v>
      </c>
      <c r="J1" s="3" t="s">
        <v>19</v>
      </c>
      <c r="K1" s="3" t="s">
        <v>21</v>
      </c>
      <c r="L1" s="3" t="s">
        <v>22</v>
      </c>
      <c r="M1" s="3" t="s">
        <v>20</v>
      </c>
      <c r="N1" t="s">
        <v>24</v>
      </c>
    </row>
    <row r="2" spans="1:14" x14ac:dyDescent="0.4">
      <c r="A2" s="3"/>
      <c r="B2" s="3"/>
      <c r="C2" s="3"/>
      <c r="D2" s="3"/>
      <c r="E2" s="3"/>
      <c r="F2" s="3"/>
      <c r="G2" s="3">
        <v>5.7</v>
      </c>
      <c r="H2" s="3"/>
      <c r="I2" s="3">
        <v>45.2</v>
      </c>
      <c r="J2">
        <v>0</v>
      </c>
      <c r="K2">
        <v>84.5</v>
      </c>
      <c r="L2">
        <v>-80.5</v>
      </c>
      <c r="M2">
        <v>90</v>
      </c>
      <c r="N2">
        <f>K2-L2</f>
        <v>165</v>
      </c>
    </row>
    <row r="3" spans="1:14" x14ac:dyDescent="0.4">
      <c r="A3" s="3"/>
      <c r="B3" s="3"/>
      <c r="C3" s="3"/>
      <c r="D3" s="3"/>
      <c r="E3" s="3"/>
      <c r="F3" t="s">
        <v>25</v>
      </c>
      <c r="G3" s="3"/>
      <c r="H3" s="3"/>
      <c r="I3">
        <f>LN(TAN(RADIANS(I$2)/2+PI()/4))</f>
        <v>0.88631876967090861</v>
      </c>
      <c r="J3">
        <f>LN(TAN(RADIANS(J$2)/2+PI()/4))</f>
        <v>-1.1102230246251565E-16</v>
      </c>
      <c r="K3">
        <f>LN(TAN(RADIANS(K$2)/2+PI()/4))</f>
        <v>3.0358577505908002</v>
      </c>
      <c r="L3">
        <f>LN(TAN(RADIANS(L$2)/2+PI()/4))</f>
        <v>-2.4877876890320554</v>
      </c>
      <c r="M3">
        <f>LN(TAN(RADIANS(M$2)/2+PI()/4))</f>
        <v>37.331446644130111</v>
      </c>
      <c r="N3">
        <f>K3-L3</f>
        <v>5.5236454396228556</v>
      </c>
    </row>
    <row r="4" spans="1:14" x14ac:dyDescent="0.4">
      <c r="A4">
        <f>A1+1</f>
        <v>0</v>
      </c>
      <c r="B4">
        <f>2^A4</f>
        <v>1</v>
      </c>
      <c r="C4">
        <f>360/2^$A4</f>
        <v>360</v>
      </c>
      <c r="D4">
        <f>165/2^$A4</f>
        <v>165</v>
      </c>
      <c r="E4" s="7" t="str">
        <f t="shared" ref="E4" si="0">CONCATENATE(A4,"/0/0")</f>
        <v>0/0/0</v>
      </c>
      <c r="F4" s="7" t="str">
        <f t="shared" ref="F4" si="1">CONCATENATE(A4,"/",2^A4-1,"/",2^A4-1)</f>
        <v>0/0/0</v>
      </c>
      <c r="G4">
        <f>(180+G$2)/360*2^A4</f>
        <v>0.51583333333333325</v>
      </c>
      <c r="K4">
        <f t="shared" ref="K4:L5" si="2">($K$3-K$3)/$N$3*$B4</f>
        <v>0</v>
      </c>
      <c r="L4">
        <f>($K$3-L$3)/$N$3*$B4</f>
        <v>1</v>
      </c>
    </row>
    <row r="5" spans="1:14" x14ac:dyDescent="0.4">
      <c r="A5">
        <f t="shared" ref="A5:A21" si="3">A4+1</f>
        <v>1</v>
      </c>
      <c r="B5">
        <f t="shared" ref="B5:B21" si="4">2^A5</f>
        <v>2</v>
      </c>
      <c r="C5">
        <f t="shared" ref="C5:C21" si="5">360/2^$A5</f>
        <v>180</v>
      </c>
      <c r="D5">
        <f t="shared" ref="D5:D21" si="6">165/2^$A5</f>
        <v>82.5</v>
      </c>
      <c r="E5" s="7" t="str">
        <f t="shared" ref="E5:E21" si="7">CONCATENATE(A5,"/0/0")</f>
        <v>1/0/0</v>
      </c>
      <c r="F5" s="7" t="str">
        <f t="shared" ref="F5:F21" si="8">CONCATENATE(A5,"/",2^A5-1,"/",2^A5-1)</f>
        <v>1/1/1</v>
      </c>
      <c r="G5">
        <f>(180+G$2)/360*2^A5</f>
        <v>1.0316666666666665</v>
      </c>
      <c r="K5">
        <f t="shared" si="2"/>
        <v>0</v>
      </c>
      <c r="L5">
        <f>($K$3-L$3)/$N$3*$B5</f>
        <v>2</v>
      </c>
    </row>
    <row r="6" spans="1:14" x14ac:dyDescent="0.4">
      <c r="A6">
        <f t="shared" si="3"/>
        <v>2</v>
      </c>
      <c r="B6">
        <f t="shared" si="4"/>
        <v>4</v>
      </c>
      <c r="C6">
        <f t="shared" si="5"/>
        <v>90</v>
      </c>
      <c r="D6">
        <f t="shared" si="6"/>
        <v>41.25</v>
      </c>
      <c r="E6" s="7" t="str">
        <f t="shared" si="7"/>
        <v>2/0/0</v>
      </c>
      <c r="F6" s="7" t="str">
        <f t="shared" si="8"/>
        <v>2/3/3</v>
      </c>
      <c r="G6">
        <f>(180+G$2)/360*2^A6</f>
        <v>2.063333333333333</v>
      </c>
    </row>
    <row r="7" spans="1:14" x14ac:dyDescent="0.4">
      <c r="A7">
        <f t="shared" si="3"/>
        <v>3</v>
      </c>
      <c r="B7">
        <f t="shared" si="4"/>
        <v>8</v>
      </c>
      <c r="C7">
        <f t="shared" si="5"/>
        <v>45</v>
      </c>
      <c r="D7">
        <f t="shared" si="6"/>
        <v>20.625</v>
      </c>
      <c r="E7" s="7" t="str">
        <f t="shared" si="7"/>
        <v>3/0/0</v>
      </c>
      <c r="F7" s="7" t="str">
        <f t="shared" si="8"/>
        <v>3/7/7</v>
      </c>
      <c r="G7">
        <f>(180+G$2)/360*2^A7</f>
        <v>4.126666666666666</v>
      </c>
    </row>
    <row r="8" spans="1:14" x14ac:dyDescent="0.4">
      <c r="A8">
        <f t="shared" si="3"/>
        <v>4</v>
      </c>
      <c r="B8">
        <f t="shared" si="4"/>
        <v>16</v>
      </c>
      <c r="C8">
        <f t="shared" si="5"/>
        <v>22.5</v>
      </c>
      <c r="D8">
        <f t="shared" si="6"/>
        <v>10.3125</v>
      </c>
      <c r="E8" s="7" t="str">
        <f t="shared" si="7"/>
        <v>4/0/0</v>
      </c>
      <c r="F8" s="7" t="str">
        <f t="shared" si="8"/>
        <v>4/15/15</v>
      </c>
      <c r="G8">
        <f>(180+G$2)/360*2^A8</f>
        <v>8.2533333333333321</v>
      </c>
    </row>
    <row r="9" spans="1:14" x14ac:dyDescent="0.4">
      <c r="A9">
        <f t="shared" si="3"/>
        <v>5</v>
      </c>
      <c r="B9">
        <f t="shared" si="4"/>
        <v>32</v>
      </c>
      <c r="C9">
        <f t="shared" si="5"/>
        <v>11.25</v>
      </c>
      <c r="D9">
        <f t="shared" si="6"/>
        <v>5.15625</v>
      </c>
      <c r="E9" s="7" t="str">
        <f t="shared" si="7"/>
        <v>5/0/0</v>
      </c>
      <c r="F9" s="7" t="str">
        <f t="shared" si="8"/>
        <v>5/31/31</v>
      </c>
      <c r="G9">
        <f>(180+G$2)/360*2^A9</f>
        <v>16.506666666666664</v>
      </c>
    </row>
    <row r="10" spans="1:14" x14ac:dyDescent="0.4">
      <c r="A10">
        <f t="shared" si="3"/>
        <v>6</v>
      </c>
      <c r="B10">
        <f t="shared" si="4"/>
        <v>64</v>
      </c>
      <c r="C10">
        <f t="shared" si="5"/>
        <v>5.625</v>
      </c>
      <c r="D10">
        <f t="shared" si="6"/>
        <v>2.578125</v>
      </c>
      <c r="E10" s="7" t="str">
        <f t="shared" si="7"/>
        <v>6/0/0</v>
      </c>
      <c r="F10" s="7" t="str">
        <f t="shared" si="8"/>
        <v>6/63/63</v>
      </c>
      <c r="G10">
        <f>(180+G$2)/360*2^A10</f>
        <v>33.013333333333328</v>
      </c>
    </row>
    <row r="11" spans="1:14" x14ac:dyDescent="0.4">
      <c r="A11">
        <f t="shared" si="3"/>
        <v>7</v>
      </c>
      <c r="B11">
        <f t="shared" si="4"/>
        <v>128</v>
      </c>
      <c r="C11">
        <f t="shared" si="5"/>
        <v>2.8125</v>
      </c>
      <c r="D11">
        <f t="shared" si="6"/>
        <v>1.2890625</v>
      </c>
      <c r="E11" s="7" t="str">
        <f t="shared" si="7"/>
        <v>7/0/0</v>
      </c>
      <c r="F11" s="7" t="str">
        <f t="shared" si="8"/>
        <v>7/127/127</v>
      </c>
      <c r="G11">
        <f>(180+G$2)/360*2^A11</f>
        <v>66.026666666666657</v>
      </c>
    </row>
    <row r="12" spans="1:14" x14ac:dyDescent="0.4">
      <c r="A12" s="3"/>
      <c r="B12" s="3"/>
      <c r="C12" s="3"/>
      <c r="D12" s="3"/>
      <c r="E12" s="3"/>
      <c r="F12" s="3"/>
      <c r="G12" s="3"/>
      <c r="H12" s="3"/>
      <c r="K12" s="8">
        <v>0</v>
      </c>
      <c r="L12" s="8">
        <v>256</v>
      </c>
      <c r="N12" t="s">
        <v>23</v>
      </c>
    </row>
    <row r="13" spans="1:14" x14ac:dyDescent="0.4">
      <c r="A13">
        <f>A11+1</f>
        <v>8</v>
      </c>
      <c r="B13">
        <f t="shared" si="4"/>
        <v>256</v>
      </c>
      <c r="C13">
        <f t="shared" si="5"/>
        <v>1.40625</v>
      </c>
      <c r="D13">
        <f t="shared" si="6"/>
        <v>0.64453125</v>
      </c>
      <c r="E13" s="7" t="str">
        <f t="shared" si="7"/>
        <v>8/0/0</v>
      </c>
      <c r="F13" s="7" t="str">
        <f t="shared" si="8"/>
        <v>8/255/255</v>
      </c>
      <c r="G13" s="8">
        <f>(180+G$2)/360*2^A13</f>
        <v>132.05333333333331</v>
      </c>
      <c r="H13" s="8">
        <v>91</v>
      </c>
      <c r="I13">
        <f t="shared" ref="I13:K14" si="9">($K$3-I$3)/$N$3*$B13</f>
        <v>99.622972750594315</v>
      </c>
      <c r="J13">
        <f t="shared" si="9"/>
        <v>140.70048352059129</v>
      </c>
      <c r="K13">
        <f t="shared" si="9"/>
        <v>0</v>
      </c>
      <c r="L13">
        <f>($K$3-L$3)/$N$3*$B13</f>
        <v>256</v>
      </c>
      <c r="M13">
        <f>($K$3-M$3)/$N$3*$B13</f>
        <v>-1589.4703692903076</v>
      </c>
    </row>
    <row r="14" spans="1:14" x14ac:dyDescent="0.4">
      <c r="A14">
        <f t="shared" si="3"/>
        <v>9</v>
      </c>
      <c r="B14">
        <f t="shared" si="4"/>
        <v>512</v>
      </c>
      <c r="C14">
        <f t="shared" si="5"/>
        <v>0.703125</v>
      </c>
      <c r="D14">
        <f t="shared" si="6"/>
        <v>0.322265625</v>
      </c>
      <c r="E14" s="7" t="str">
        <f t="shared" si="7"/>
        <v>9/0/0</v>
      </c>
      <c r="F14" s="7" t="str">
        <f t="shared" si="8"/>
        <v>9/511/511</v>
      </c>
      <c r="G14">
        <f>(180+G$2)/360*2^A14</f>
        <v>264.10666666666663</v>
      </c>
      <c r="K14">
        <f t="shared" si="9"/>
        <v>0</v>
      </c>
      <c r="L14">
        <f>($K$3-L$3)/$N$3*$B14</f>
        <v>512</v>
      </c>
    </row>
    <row r="15" spans="1:14" x14ac:dyDescent="0.4">
      <c r="A15">
        <f t="shared" si="3"/>
        <v>10</v>
      </c>
      <c r="B15">
        <f t="shared" si="4"/>
        <v>1024</v>
      </c>
      <c r="C15">
        <f t="shared" si="5"/>
        <v>0.3515625</v>
      </c>
      <c r="D15">
        <f t="shared" si="6"/>
        <v>0.1611328125</v>
      </c>
      <c r="E15" s="7" t="str">
        <f t="shared" si="7"/>
        <v>10/0/0</v>
      </c>
      <c r="F15" s="7" t="str">
        <f t="shared" si="8"/>
        <v>10/1023/1023</v>
      </c>
      <c r="G15">
        <f>(180+G$2)/360*2^A15</f>
        <v>528.21333333333325</v>
      </c>
    </row>
    <row r="16" spans="1:14" x14ac:dyDescent="0.4">
      <c r="A16">
        <f t="shared" si="3"/>
        <v>11</v>
      </c>
      <c r="B16">
        <f t="shared" si="4"/>
        <v>2048</v>
      </c>
      <c r="C16">
        <f t="shared" si="5"/>
        <v>0.17578125</v>
      </c>
      <c r="D16">
        <f t="shared" si="6"/>
        <v>8.056640625E-2</v>
      </c>
      <c r="E16" s="7" t="str">
        <f t="shared" si="7"/>
        <v>11/0/0</v>
      </c>
      <c r="F16" s="7" t="str">
        <f t="shared" si="8"/>
        <v>11/2047/2047</v>
      </c>
      <c r="G16">
        <f>(180+G$2)/360*2^A16</f>
        <v>1056.4266666666665</v>
      </c>
    </row>
    <row r="17" spans="1:7" x14ac:dyDescent="0.4">
      <c r="A17">
        <f t="shared" si="3"/>
        <v>12</v>
      </c>
      <c r="B17">
        <f t="shared" si="4"/>
        <v>4096</v>
      </c>
      <c r="C17">
        <f t="shared" si="5"/>
        <v>8.7890625E-2</v>
      </c>
      <c r="D17">
        <f t="shared" si="6"/>
        <v>4.0283203125E-2</v>
      </c>
      <c r="E17" s="7" t="str">
        <f t="shared" si="7"/>
        <v>12/0/0</v>
      </c>
      <c r="F17" s="7" t="str">
        <f t="shared" si="8"/>
        <v>12/4095/4095</v>
      </c>
      <c r="G17">
        <f>(180+G$2)/360*2^A17</f>
        <v>2112.853333333333</v>
      </c>
    </row>
    <row r="18" spans="1:7" x14ac:dyDescent="0.4">
      <c r="A18">
        <f t="shared" si="3"/>
        <v>13</v>
      </c>
      <c r="B18">
        <f t="shared" si="4"/>
        <v>8192</v>
      </c>
      <c r="C18">
        <f t="shared" si="5"/>
        <v>4.39453125E-2</v>
      </c>
      <c r="D18">
        <f t="shared" si="6"/>
        <v>2.01416015625E-2</v>
      </c>
      <c r="E18" s="7" t="str">
        <f t="shared" si="7"/>
        <v>13/0/0</v>
      </c>
      <c r="F18" s="7" t="str">
        <f t="shared" si="8"/>
        <v>13/8191/8191</v>
      </c>
      <c r="G18">
        <f>(180+G$2)/360*2^A18</f>
        <v>4225.706666666666</v>
      </c>
    </row>
    <row r="19" spans="1:7" x14ac:dyDescent="0.4">
      <c r="A19">
        <f t="shared" si="3"/>
        <v>14</v>
      </c>
      <c r="B19">
        <f t="shared" si="4"/>
        <v>16384</v>
      </c>
      <c r="C19">
        <f t="shared" si="5"/>
        <v>2.197265625E-2</v>
      </c>
      <c r="D19">
        <f t="shared" si="6"/>
        <v>1.007080078125E-2</v>
      </c>
      <c r="E19" s="7" t="str">
        <f t="shared" si="7"/>
        <v>14/0/0</v>
      </c>
      <c r="F19" s="7" t="str">
        <f t="shared" si="8"/>
        <v>14/16383/16383</v>
      </c>
      <c r="G19">
        <f>(180+G$2)/360*2^A19</f>
        <v>8451.413333333332</v>
      </c>
    </row>
    <row r="20" spans="1:7" x14ac:dyDescent="0.4">
      <c r="A20">
        <f t="shared" si="3"/>
        <v>15</v>
      </c>
      <c r="B20">
        <f t="shared" si="4"/>
        <v>32768</v>
      </c>
      <c r="C20">
        <f t="shared" si="5"/>
        <v>1.0986328125E-2</v>
      </c>
      <c r="D20">
        <f t="shared" si="6"/>
        <v>5.035400390625E-3</v>
      </c>
      <c r="E20" s="7" t="str">
        <f t="shared" si="7"/>
        <v>15/0/0</v>
      </c>
      <c r="F20" s="7" t="str">
        <f t="shared" si="8"/>
        <v>15/32767/32767</v>
      </c>
      <c r="G20">
        <f>(180+G$2)/360*2^A20</f>
        <v>16902.826666666664</v>
      </c>
    </row>
    <row r="21" spans="1:7" x14ac:dyDescent="0.4">
      <c r="A21">
        <f t="shared" si="3"/>
        <v>16</v>
      </c>
      <c r="B21">
        <f t="shared" si="4"/>
        <v>65536</v>
      </c>
      <c r="C21">
        <f t="shared" si="5"/>
        <v>5.4931640625E-3</v>
      </c>
      <c r="D21">
        <f t="shared" si="6"/>
        <v>2.5177001953125E-3</v>
      </c>
      <c r="E21" s="7" t="str">
        <f t="shared" si="7"/>
        <v>16/0/0</v>
      </c>
      <c r="F21" s="7" t="str">
        <f t="shared" si="8"/>
        <v>16/65535/65535</v>
      </c>
      <c r="G21">
        <f>(180+G$2)/360*2^A21</f>
        <v>33805.653333333328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Dominique Cavailhez</dc:creator>
  <cp:lastModifiedBy>Dominique Cavailhez</cp:lastModifiedBy>
  <dcterms:created xsi:type="dcterms:W3CDTF">2025-11-18T18:48:48Z</dcterms:created>
  <dcterms:modified xsi:type="dcterms:W3CDTF">2025-11-19T07:57:58Z</dcterms:modified>
</cp:coreProperties>
</file>